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aelacarianni/Library/Mobile Documents/com~apple~CloudDocs/Downloads/Magistrale/Information systems/"/>
    </mc:Choice>
  </mc:AlternateContent>
  <xr:revisionPtr revIDLastSave="0" documentId="8_{509B25D2-95D7-A949-AA0A-807BA5F185C4}" xr6:coauthVersionLast="47" xr6:coauthVersionMax="47" xr10:uidLastSave="{00000000-0000-0000-0000-000000000000}"/>
  <bookViews>
    <workbookView xWindow="0" yWindow="660" windowWidth="29400" windowHeight="18460" activeTab="1" xr2:uid="{093DF749-12B6-6543-ADE2-0AF49AA2776B}"/>
  </bookViews>
  <sheets>
    <sheet name="1" sheetId="2" r:id="rId1"/>
    <sheet name="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P12" i="1"/>
  <c r="L25" i="2"/>
  <c r="L24" i="2"/>
  <c r="L23" i="2"/>
  <c r="L22" i="2"/>
  <c r="L21" i="2"/>
  <c r="L20" i="2"/>
  <c r="L19" i="2"/>
  <c r="L18" i="2"/>
  <c r="L14" i="2"/>
  <c r="L13" i="2"/>
  <c r="L12" i="2"/>
  <c r="L11" i="2"/>
  <c r="L10" i="2"/>
  <c r="L9" i="2"/>
  <c r="L8" i="2"/>
  <c r="S7" i="2"/>
  <c r="L7" i="2"/>
  <c r="S6" i="2"/>
  <c r="L6" i="2"/>
  <c r="L5" i="2"/>
  <c r="L4" i="2"/>
  <c r="L3" i="2"/>
  <c r="L2" i="2"/>
  <c r="F2" i="2"/>
  <c r="P12" i="2" s="1"/>
  <c r="L11" i="1"/>
  <c r="L12" i="1"/>
  <c r="F3" i="1"/>
  <c r="S7" i="1"/>
  <c r="S6" i="1"/>
  <c r="L25" i="1"/>
  <c r="L24" i="1"/>
  <c r="L23" i="1"/>
  <c r="L22" i="1"/>
  <c r="L21" i="1"/>
  <c r="L20" i="1"/>
  <c r="L19" i="1"/>
  <c r="L18" i="1"/>
  <c r="L14" i="1"/>
  <c r="L13" i="1"/>
  <c r="L10" i="1"/>
  <c r="L9" i="1"/>
  <c r="L8" i="1"/>
  <c r="L7" i="1"/>
  <c r="L6" i="1"/>
  <c r="L5" i="1"/>
  <c r="L4" i="1"/>
  <c r="L3" i="1"/>
  <c r="L2" i="1"/>
  <c r="F2" i="1"/>
  <c r="S8" i="2" l="1"/>
  <c r="S10" i="2" s="1"/>
  <c r="P9" i="2"/>
  <c r="P10" i="2" s="1"/>
  <c r="P6" i="2"/>
  <c r="P7" i="2" s="1"/>
  <c r="P9" i="1"/>
  <c r="P10" i="1" s="1"/>
  <c r="P6" i="1"/>
  <c r="P7" i="1" s="1"/>
  <c r="S8" i="1"/>
  <c r="S10" i="1" s="1"/>
  <c r="P13" i="2" l="1"/>
  <c r="P15" i="2" s="1"/>
  <c r="P27" i="2" s="1"/>
  <c r="P13" i="1"/>
  <c r="P15" i="1" s="1"/>
  <c r="P17" i="1" s="1"/>
  <c r="P17" i="2" l="1"/>
  <c r="P27" i="1"/>
</calcChain>
</file>

<file path=xl/sharedStrings.xml><?xml version="1.0" encoding="utf-8"?>
<sst xmlns="http://schemas.openxmlformats.org/spreadsheetml/2006/main" count="222" uniqueCount="107">
  <si>
    <t>Actors Weight</t>
  </si>
  <si>
    <t>Transactions</t>
  </si>
  <si>
    <t>UC Weight</t>
  </si>
  <si>
    <t>UUCP</t>
  </si>
  <si>
    <t>Factor</t>
  </si>
  <si>
    <t>Description</t>
  </si>
  <si>
    <t>Weight</t>
  </si>
  <si>
    <t>Rating (0-5)</t>
  </si>
  <si>
    <t>TF (W*R)</t>
  </si>
  <si>
    <t>T1</t>
  </si>
  <si>
    <t>Distributed System</t>
  </si>
  <si>
    <t>T2</t>
  </si>
  <si>
    <t>Response time</t>
  </si>
  <si>
    <t>T3</t>
  </si>
  <si>
    <t>End User Efficiency</t>
  </si>
  <si>
    <t>T4</t>
  </si>
  <si>
    <t>Complex Internal Processing</t>
  </si>
  <si>
    <t>T5</t>
  </si>
  <si>
    <t>Reusable Code</t>
  </si>
  <si>
    <t>T6</t>
  </si>
  <si>
    <t>Easy to install</t>
  </si>
  <si>
    <t>T7</t>
  </si>
  <si>
    <t>Easy to use</t>
  </si>
  <si>
    <t>T8</t>
  </si>
  <si>
    <t>Cross-platform support</t>
  </si>
  <si>
    <t>T9</t>
  </si>
  <si>
    <t>Easy to change</t>
  </si>
  <si>
    <t>T10</t>
  </si>
  <si>
    <t>Concurrent</t>
  </si>
  <si>
    <t>T11</t>
  </si>
  <si>
    <t>Includes Security Features</t>
  </si>
  <si>
    <t>T12</t>
  </si>
  <si>
    <t>Provides Access for 3rd parties</t>
  </si>
  <si>
    <t>T13</t>
  </si>
  <si>
    <t>User Training Required</t>
  </si>
  <si>
    <t>EF (W*R)</t>
  </si>
  <si>
    <t>F1</t>
  </si>
  <si>
    <t>F2</t>
  </si>
  <si>
    <t>Application Experience</t>
  </si>
  <si>
    <t>F3</t>
  </si>
  <si>
    <t>Object Oriented Experience</t>
  </si>
  <si>
    <t>F4</t>
  </si>
  <si>
    <t>Lead Analyst Capability</t>
  </si>
  <si>
    <t>F5</t>
  </si>
  <si>
    <t>Motivation</t>
  </si>
  <si>
    <t>F6</t>
  </si>
  <si>
    <t>Stable requirements</t>
  </si>
  <si>
    <t>F7</t>
  </si>
  <si>
    <t>Part Time Workers</t>
  </si>
  <si>
    <t>F8</t>
  </si>
  <si>
    <t>Difficulty of programming language</t>
  </si>
  <si>
    <t>Effort Computation</t>
  </si>
  <si>
    <t>Context factors</t>
  </si>
  <si>
    <t>Productivity norms</t>
  </si>
  <si>
    <t>PN1</t>
  </si>
  <si>
    <t>PN2</t>
  </si>
  <si>
    <t>T Factor</t>
  </si>
  <si>
    <t>n1</t>
  </si>
  <si>
    <t>PN3</t>
  </si>
  <si>
    <t>TCF</t>
  </si>
  <si>
    <t>n2</t>
  </si>
  <si>
    <t>n1+n2</t>
  </si>
  <si>
    <t>E Factor</t>
  </si>
  <si>
    <t>ECF</t>
  </si>
  <si>
    <t>Productivity</t>
  </si>
  <si>
    <t>PH / UCP</t>
  </si>
  <si>
    <t>UCP</t>
  </si>
  <si>
    <t>Effort</t>
  </si>
  <si>
    <t>person hours</t>
  </si>
  <si>
    <t>equivalent to</t>
  </si>
  <si>
    <t>person days</t>
  </si>
  <si>
    <t xml:space="preserve">Person cost </t>
  </si>
  <si>
    <t>€/day</t>
  </si>
  <si>
    <t>Total cost</t>
  </si>
  <si>
    <t>Ratings</t>
  </si>
  <si>
    <t>Familiarity With Project Domain</t>
  </si>
  <si>
    <t>Lookup tables</t>
  </si>
  <si>
    <t>Productivity Norms</t>
  </si>
  <si>
    <t>Actor weights</t>
  </si>
  <si>
    <t>UC title</t>
  </si>
  <si>
    <t>Actor name</t>
  </si>
  <si>
    <t>Unregistered Citizen</t>
  </si>
  <si>
    <t>Citizen</t>
  </si>
  <si>
    <t>Organization Office Staff</t>
  </si>
  <si>
    <t>Technical Office Staff</t>
  </si>
  <si>
    <t>External company personnel</t>
  </si>
  <si>
    <t>Message gateway</t>
  </si>
  <si>
    <t>Email gateway</t>
  </si>
  <si>
    <t>External chatbot</t>
  </si>
  <si>
    <t>Report gateway</t>
  </si>
  <si>
    <t>Consult interactive map/summary table</t>
  </si>
  <si>
    <t>View report</t>
  </si>
  <si>
    <t>Receive report updates</t>
  </si>
  <si>
    <t>Register in the system</t>
  </si>
  <si>
    <t>View public statistics</t>
  </si>
  <si>
    <t>Fill in a problem form</t>
  </si>
  <si>
    <t>Reply to message</t>
  </si>
  <si>
    <t>View private statistics</t>
  </si>
  <si>
    <t>Accept/Reject reports</t>
  </si>
  <si>
    <t>Assigns report to the Technical Office responsible</t>
  </si>
  <si>
    <t xml:space="preserve">Send message to the citizen </t>
  </si>
  <si>
    <t>Write an explanation for rejected reports</t>
  </si>
  <si>
    <t>Plan intervention</t>
  </si>
  <si>
    <t>Evaluate further "Suspended" reports</t>
  </si>
  <si>
    <t>Update status and close report</t>
  </si>
  <si>
    <t>Change report status</t>
  </si>
  <si>
    <t>Exchange information/comments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</si>
</sst>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4" borderId="0" xfId="0" applyFont="1" applyFill="1"/>
    <xf numFmtId="0" fontId="2" fillId="3" borderId="0" xfId="0" applyFont="1" applyFill="1"/>
    <xf numFmtId="2" fontId="2" fillId="0" borderId="0" xfId="0" applyNumberFormat="1" applyFont="1"/>
    <xf numFmtId="2" fontId="0" fillId="0" borderId="0" xfId="0" applyNumberFormat="1"/>
    <xf numFmtId="0" fontId="2" fillId="2" borderId="0" xfId="0" applyFont="1" applyFill="1"/>
    <xf numFmtId="0" fontId="4" fillId="6" borderId="0" xfId="0" applyFont="1" applyFill="1"/>
    <xf numFmtId="0" fontId="0" fillId="6" borderId="0" xfId="0" applyFill="1"/>
    <xf numFmtId="0" fontId="2" fillId="0" borderId="0" xfId="0" applyFont="1" applyAlignment="1">
      <alignment horizontal="right" vertical="top" wrapText="1"/>
    </xf>
    <xf numFmtId="2" fontId="0" fillId="0" borderId="0" xfId="0" applyNumberFormat="1" applyAlignment="1">
      <alignment horizontal="right"/>
    </xf>
    <xf numFmtId="44" fontId="6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7" fillId="0" borderId="0" xfId="0" applyFont="1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7820-3B35-A445-8238-24E857339B48}">
  <dimension ref="A1:AC27"/>
  <sheetViews>
    <sheetView topLeftCell="C1" zoomScale="130" zoomScaleNormal="130" workbookViewId="0">
      <selection activeCell="N18" sqref="N18"/>
    </sheetView>
  </sheetViews>
  <sheetFormatPr baseColWidth="10" defaultColWidth="10.83203125" defaultRowHeight="16" x14ac:dyDescent="0.2"/>
  <cols>
    <col min="1" max="1" width="6.6640625" customWidth="1"/>
    <col min="2" max="2" width="25.1640625" customWidth="1"/>
    <col min="3" max="3" width="9.6640625" customWidth="1"/>
    <col min="4" max="4" width="45.33203125" customWidth="1"/>
    <col min="5" max="5" width="11.33203125" customWidth="1"/>
    <col min="9" max="9" width="31.1640625" customWidth="1"/>
    <col min="10" max="10" width="9.6640625" customWidth="1"/>
    <col min="11" max="11" width="13.5" customWidth="1"/>
    <col min="13" max="13" width="6.6640625" customWidth="1"/>
    <col min="16" max="16" width="26.6640625" customWidth="1"/>
    <col min="19" max="19" width="8.33203125" customWidth="1"/>
    <col min="20" max="20" width="8.6640625" customWidth="1"/>
  </cols>
  <sheetData>
    <row r="1" spans="1:29" ht="32" customHeight="1" x14ac:dyDescent="0.3">
      <c r="A1" s="1"/>
      <c r="B1" s="1" t="s">
        <v>80</v>
      </c>
      <c r="C1" s="14" t="s">
        <v>0</v>
      </c>
      <c r="D1" s="1" t="s">
        <v>79</v>
      </c>
      <c r="E1" s="1" t="s">
        <v>1</v>
      </c>
      <c r="F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O1" s="3" t="s">
        <v>51</v>
      </c>
      <c r="X1" t="s">
        <v>76</v>
      </c>
    </row>
    <row r="2" spans="1:29" x14ac:dyDescent="0.2">
      <c r="A2">
        <v>1</v>
      </c>
      <c r="B2" t="s">
        <v>81</v>
      </c>
      <c r="C2" s="2">
        <v>3</v>
      </c>
      <c r="D2" s="18" t="s">
        <v>90</v>
      </c>
      <c r="E2" s="2">
        <v>2</v>
      </c>
      <c r="F2">
        <f>IF(E2="","",IF(E2&lt;4,5,IF(E2&lt;=7,10,15)))</f>
        <v>5</v>
      </c>
      <c r="H2" t="s">
        <v>9</v>
      </c>
      <c r="I2" t="s">
        <v>10</v>
      </c>
      <c r="J2">
        <v>2</v>
      </c>
      <c r="K2" s="2">
        <v>5</v>
      </c>
      <c r="L2">
        <f>K2*J2</f>
        <v>10</v>
      </c>
      <c r="X2" s="1" t="s">
        <v>77</v>
      </c>
      <c r="AA2" s="1" t="s">
        <v>78</v>
      </c>
      <c r="AC2" s="1" t="s">
        <v>74</v>
      </c>
    </row>
    <row r="3" spans="1:29" x14ac:dyDescent="0.2">
      <c r="A3">
        <v>2</v>
      </c>
      <c r="B3" t="s">
        <v>82</v>
      </c>
      <c r="C3" s="2">
        <v>3</v>
      </c>
      <c r="D3" s="18" t="s">
        <v>91</v>
      </c>
      <c r="E3" s="2">
        <v>3</v>
      </c>
      <c r="F3">
        <f t="shared" ref="F3:F18" si="0">IF(E3="","",IF(E3&lt;4,5,IF(E3&lt;=7,10,15)))</f>
        <v>5</v>
      </c>
      <c r="H3" t="s">
        <v>11</v>
      </c>
      <c r="I3" t="s">
        <v>12</v>
      </c>
      <c r="J3">
        <v>2</v>
      </c>
      <c r="K3" s="2">
        <v>2</v>
      </c>
      <c r="L3">
        <f t="shared" ref="L3:L14" si="1">K3*J3</f>
        <v>4</v>
      </c>
      <c r="X3" s="1"/>
      <c r="AA3" s="1"/>
      <c r="AC3" s="1"/>
    </row>
    <row r="4" spans="1:29" x14ac:dyDescent="0.2">
      <c r="A4">
        <v>3</v>
      </c>
      <c r="B4" t="s">
        <v>83</v>
      </c>
      <c r="C4" s="2">
        <v>3</v>
      </c>
      <c r="D4" s="18" t="s">
        <v>92</v>
      </c>
      <c r="E4" s="2">
        <v>4</v>
      </c>
      <c r="F4">
        <f t="shared" si="0"/>
        <v>10</v>
      </c>
      <c r="H4" t="s">
        <v>13</v>
      </c>
      <c r="I4" t="s">
        <v>14</v>
      </c>
      <c r="J4">
        <v>1</v>
      </c>
      <c r="K4" s="2">
        <v>4</v>
      </c>
      <c r="L4">
        <f t="shared" si="1"/>
        <v>4</v>
      </c>
      <c r="O4" s="5" t="s">
        <v>52</v>
      </c>
      <c r="P4" s="5"/>
      <c r="R4" s="6" t="s">
        <v>53</v>
      </c>
      <c r="S4" s="6"/>
      <c r="T4" s="6"/>
      <c r="X4" s="12" t="s">
        <v>54</v>
      </c>
      <c r="Y4" s="12">
        <v>10</v>
      </c>
      <c r="AA4" s="13">
        <v>1</v>
      </c>
      <c r="AC4" s="13">
        <v>0</v>
      </c>
    </row>
    <row r="5" spans="1:29" x14ac:dyDescent="0.2">
      <c r="A5">
        <v>4</v>
      </c>
      <c r="B5" t="s">
        <v>84</v>
      </c>
      <c r="C5" s="2">
        <v>3</v>
      </c>
      <c r="D5" s="18" t="s">
        <v>93</v>
      </c>
      <c r="E5" s="2">
        <v>5</v>
      </c>
      <c r="F5">
        <f t="shared" si="0"/>
        <v>10</v>
      </c>
      <c r="H5" t="s">
        <v>15</v>
      </c>
      <c r="I5" t="s">
        <v>16</v>
      </c>
      <c r="J5">
        <v>1</v>
      </c>
      <c r="K5" s="2">
        <v>1</v>
      </c>
      <c r="L5">
        <f t="shared" si="1"/>
        <v>1</v>
      </c>
      <c r="O5" s="5"/>
      <c r="P5" s="5"/>
      <c r="R5" s="6"/>
      <c r="S5" s="6"/>
      <c r="T5" s="6"/>
      <c r="X5" s="12" t="s">
        <v>55</v>
      </c>
      <c r="Y5" s="12">
        <v>14</v>
      </c>
      <c r="AA5" s="13">
        <v>2</v>
      </c>
      <c r="AC5" s="13">
        <v>0.5</v>
      </c>
    </row>
    <row r="6" spans="1:29" x14ac:dyDescent="0.2">
      <c r="A6">
        <v>5</v>
      </c>
      <c r="B6" t="s">
        <v>85</v>
      </c>
      <c r="C6" s="2">
        <v>3</v>
      </c>
      <c r="D6" s="18" t="s">
        <v>94</v>
      </c>
      <c r="E6" s="2">
        <v>3</v>
      </c>
      <c r="F6">
        <f t="shared" si="0"/>
        <v>5</v>
      </c>
      <c r="H6" t="s">
        <v>17</v>
      </c>
      <c r="I6" t="s">
        <v>18</v>
      </c>
      <c r="J6">
        <v>1</v>
      </c>
      <c r="K6" s="2">
        <v>4</v>
      </c>
      <c r="L6">
        <f t="shared" si="1"/>
        <v>4</v>
      </c>
      <c r="O6" s="5" t="s">
        <v>56</v>
      </c>
      <c r="P6" s="5">
        <f>SUM(L2:L14)</f>
        <v>48</v>
      </c>
      <c r="R6" s="6" t="s">
        <v>57</v>
      </c>
      <c r="S6" s="6">
        <f>COUNTIF(K18:K23,"&lt;3")</f>
        <v>1</v>
      </c>
      <c r="T6" s="6"/>
      <c r="X6" s="12" t="s">
        <v>58</v>
      </c>
      <c r="Y6" s="12">
        <v>18</v>
      </c>
      <c r="AA6" s="13">
        <v>3</v>
      </c>
      <c r="AC6" s="13">
        <v>1</v>
      </c>
    </row>
    <row r="7" spans="1:29" x14ac:dyDescent="0.2">
      <c r="A7">
        <v>6</v>
      </c>
      <c r="B7" t="s">
        <v>86</v>
      </c>
      <c r="C7" s="2">
        <v>1</v>
      </c>
      <c r="D7" s="18" t="s">
        <v>95</v>
      </c>
      <c r="E7" s="2">
        <v>7</v>
      </c>
      <c r="F7">
        <f t="shared" si="0"/>
        <v>10</v>
      </c>
      <c r="H7" t="s">
        <v>19</v>
      </c>
      <c r="I7" t="s">
        <v>20</v>
      </c>
      <c r="J7">
        <v>0.5</v>
      </c>
      <c r="K7" s="2">
        <v>5</v>
      </c>
      <c r="L7">
        <f t="shared" si="1"/>
        <v>2.5</v>
      </c>
      <c r="O7" s="5" t="s">
        <v>59</v>
      </c>
      <c r="P7" s="7">
        <f>0.6+0.01*P6</f>
        <v>1.08</v>
      </c>
      <c r="R7" s="6" t="s">
        <v>60</v>
      </c>
      <c r="S7" s="6">
        <f>COUNTIF(K24:K25,"&gt;3")</f>
        <v>0</v>
      </c>
      <c r="T7" s="6"/>
      <c r="AC7" s="13">
        <v>1.5</v>
      </c>
    </row>
    <row r="8" spans="1:29" x14ac:dyDescent="0.2">
      <c r="A8">
        <v>7</v>
      </c>
      <c r="B8" t="s">
        <v>87</v>
      </c>
      <c r="C8" s="2">
        <v>1</v>
      </c>
      <c r="D8" s="18" t="s">
        <v>96</v>
      </c>
      <c r="E8" s="2">
        <v>3</v>
      </c>
      <c r="F8">
        <f t="shared" si="0"/>
        <v>5</v>
      </c>
      <c r="H8" t="s">
        <v>21</v>
      </c>
      <c r="I8" t="s">
        <v>22</v>
      </c>
      <c r="J8">
        <v>0.5</v>
      </c>
      <c r="K8" s="2">
        <v>1</v>
      </c>
      <c r="L8">
        <f t="shared" si="1"/>
        <v>0.5</v>
      </c>
      <c r="O8" s="5"/>
      <c r="P8" s="5"/>
      <c r="R8" s="6" t="s">
        <v>61</v>
      </c>
      <c r="S8" s="6">
        <f>SUM(S6:S7)</f>
        <v>1</v>
      </c>
      <c r="T8" s="6"/>
      <c r="AC8" s="13">
        <v>2</v>
      </c>
    </row>
    <row r="9" spans="1:29" x14ac:dyDescent="0.2">
      <c r="A9">
        <v>8</v>
      </c>
      <c r="B9" t="s">
        <v>88</v>
      </c>
      <c r="C9" s="2">
        <v>1</v>
      </c>
      <c r="D9" s="18" t="s">
        <v>97</v>
      </c>
      <c r="E9" s="2">
        <v>3</v>
      </c>
      <c r="F9">
        <f t="shared" si="0"/>
        <v>5</v>
      </c>
      <c r="H9" t="s">
        <v>23</v>
      </c>
      <c r="I9" t="s">
        <v>24</v>
      </c>
      <c r="J9">
        <v>2</v>
      </c>
      <c r="K9" s="2">
        <v>5</v>
      </c>
      <c r="L9">
        <f t="shared" si="1"/>
        <v>10</v>
      </c>
      <c r="O9" s="5" t="s">
        <v>62</v>
      </c>
      <c r="P9" s="5">
        <f>SUM(L18:L25)</f>
        <v>21</v>
      </c>
      <c r="R9" s="6"/>
      <c r="S9" s="6"/>
      <c r="T9" s="6"/>
      <c r="AC9" s="13">
        <v>2.5</v>
      </c>
    </row>
    <row r="10" spans="1:29" x14ac:dyDescent="0.2">
      <c r="A10">
        <v>9</v>
      </c>
      <c r="B10" t="s">
        <v>89</v>
      </c>
      <c r="C10" s="2">
        <v>1</v>
      </c>
      <c r="D10" s="18" t="s">
        <v>98</v>
      </c>
      <c r="E10" s="2">
        <v>3</v>
      </c>
      <c r="F10">
        <f t="shared" si="0"/>
        <v>5</v>
      </c>
      <c r="H10" t="s">
        <v>25</v>
      </c>
      <c r="I10" t="s">
        <v>26</v>
      </c>
      <c r="J10">
        <v>1</v>
      </c>
      <c r="K10" s="2">
        <v>2</v>
      </c>
      <c r="L10">
        <f t="shared" si="1"/>
        <v>2</v>
      </c>
      <c r="O10" s="5" t="s">
        <v>63</v>
      </c>
      <c r="P10" s="7">
        <f>1.4+(-0.03*P9)</f>
        <v>0.76999999999999991</v>
      </c>
      <c r="R10" s="6" t="s">
        <v>64</v>
      </c>
      <c r="S10" s="6">
        <f>IF(S8&lt;=2,Y4,IF(S8&lt;=4,Y5,Y6))</f>
        <v>10</v>
      </c>
      <c r="T10" s="6" t="s">
        <v>65</v>
      </c>
      <c r="AC10" s="13">
        <v>3</v>
      </c>
    </row>
    <row r="11" spans="1:29" x14ac:dyDescent="0.2">
      <c r="A11">
        <v>10</v>
      </c>
      <c r="C11" s="2"/>
      <c r="D11" s="18" t="s">
        <v>99</v>
      </c>
      <c r="E11" s="2">
        <v>3</v>
      </c>
      <c r="F11">
        <f t="shared" si="0"/>
        <v>5</v>
      </c>
      <c r="H11" t="s">
        <v>27</v>
      </c>
      <c r="I11" t="s">
        <v>28</v>
      </c>
      <c r="J11">
        <v>1</v>
      </c>
      <c r="K11" s="2">
        <v>5</v>
      </c>
      <c r="L11">
        <f t="shared" si="1"/>
        <v>5</v>
      </c>
      <c r="AC11" s="13">
        <v>3.5</v>
      </c>
    </row>
    <row r="12" spans="1:29" x14ac:dyDescent="0.2">
      <c r="A12">
        <v>11</v>
      </c>
      <c r="C12" s="2"/>
      <c r="D12" s="18" t="s">
        <v>100</v>
      </c>
      <c r="E12" s="2">
        <v>3</v>
      </c>
      <c r="F12">
        <f t="shared" si="0"/>
        <v>5</v>
      </c>
      <c r="H12" t="s">
        <v>29</v>
      </c>
      <c r="I12" t="s">
        <v>30</v>
      </c>
      <c r="J12">
        <v>1</v>
      </c>
      <c r="K12" s="2">
        <v>1</v>
      </c>
      <c r="L12">
        <f>K12*J12</f>
        <v>1</v>
      </c>
      <c r="O12" s="8" t="s">
        <v>3</v>
      </c>
      <c r="P12" s="4">
        <f>IF(F1&lt;&gt;"",SUM(C2:C25,F2:F25),0)</f>
        <v>119</v>
      </c>
      <c r="AC12" s="13">
        <v>4</v>
      </c>
    </row>
    <row r="13" spans="1:29" x14ac:dyDescent="0.2">
      <c r="A13">
        <v>12</v>
      </c>
      <c r="C13" s="2"/>
      <c r="D13" s="18" t="s">
        <v>101</v>
      </c>
      <c r="E13" s="2">
        <v>3</v>
      </c>
      <c r="F13">
        <f t="shared" si="0"/>
        <v>5</v>
      </c>
      <c r="H13" t="s">
        <v>31</v>
      </c>
      <c r="I13" t="s">
        <v>32</v>
      </c>
      <c r="J13">
        <v>1</v>
      </c>
      <c r="K13" s="2">
        <v>3</v>
      </c>
      <c r="L13">
        <f>K13*J13</f>
        <v>3</v>
      </c>
      <c r="O13" s="1" t="s">
        <v>66</v>
      </c>
      <c r="P13" s="9">
        <f>P12*P7*P10</f>
        <v>98.960399999999993</v>
      </c>
      <c r="AC13" s="13">
        <v>4.5</v>
      </c>
    </row>
    <row r="14" spans="1:29" ht="17" thickBot="1" x14ac:dyDescent="0.25">
      <c r="A14">
        <v>13</v>
      </c>
      <c r="C14" s="2"/>
      <c r="D14" s="18" t="s">
        <v>102</v>
      </c>
      <c r="E14" s="2">
        <v>3</v>
      </c>
      <c r="F14">
        <f t="shared" si="0"/>
        <v>5</v>
      </c>
      <c r="H14" t="s">
        <v>33</v>
      </c>
      <c r="I14" t="s">
        <v>34</v>
      </c>
      <c r="J14">
        <v>1</v>
      </c>
      <c r="K14" s="2">
        <v>1</v>
      </c>
      <c r="L14">
        <f t="shared" si="1"/>
        <v>1</v>
      </c>
      <c r="AC14" s="13">
        <v>5</v>
      </c>
    </row>
    <row r="15" spans="1:29" ht="18" thickBot="1" x14ac:dyDescent="0.25">
      <c r="A15">
        <v>14</v>
      </c>
      <c r="C15" s="2"/>
      <c r="D15" s="19" t="s">
        <v>103</v>
      </c>
      <c r="E15" s="2">
        <v>3</v>
      </c>
      <c r="F15">
        <f t="shared" si="0"/>
        <v>5</v>
      </c>
      <c r="O15" s="1" t="s">
        <v>67</v>
      </c>
      <c r="P15" s="9">
        <f>P13*S10</f>
        <v>989.60399999999993</v>
      </c>
      <c r="Q15" t="s">
        <v>68</v>
      </c>
    </row>
    <row r="16" spans="1:29" x14ac:dyDescent="0.2">
      <c r="A16">
        <v>15</v>
      </c>
      <c r="C16" s="2"/>
      <c r="D16" s="18" t="s">
        <v>104</v>
      </c>
      <c r="E16" s="2">
        <v>3</v>
      </c>
      <c r="F16">
        <f t="shared" si="0"/>
        <v>5</v>
      </c>
      <c r="O16" s="1"/>
      <c r="P16" s="15" t="s">
        <v>69</v>
      </c>
    </row>
    <row r="17" spans="1:17" x14ac:dyDescent="0.2">
      <c r="A17">
        <v>16</v>
      </c>
      <c r="C17" s="2"/>
      <c r="D17" s="18" t="s">
        <v>105</v>
      </c>
      <c r="E17" s="2">
        <v>3</v>
      </c>
      <c r="F17">
        <f t="shared" si="0"/>
        <v>5</v>
      </c>
      <c r="H17" s="1" t="s">
        <v>4</v>
      </c>
      <c r="I17" s="1" t="s">
        <v>5</v>
      </c>
      <c r="J17" s="1" t="s">
        <v>6</v>
      </c>
      <c r="K17" s="1" t="s">
        <v>7</v>
      </c>
      <c r="L17" s="1" t="s">
        <v>35</v>
      </c>
      <c r="P17" s="10">
        <f>P15/8</f>
        <v>123.70049999999999</v>
      </c>
      <c r="Q17" t="s">
        <v>70</v>
      </c>
    </row>
    <row r="18" spans="1:17" x14ac:dyDescent="0.2">
      <c r="A18">
        <v>17</v>
      </c>
      <c r="C18" s="2"/>
      <c r="D18" s="20" t="s">
        <v>106</v>
      </c>
      <c r="E18" s="2">
        <v>3</v>
      </c>
      <c r="F18">
        <f t="shared" si="0"/>
        <v>5</v>
      </c>
      <c r="H18" t="s">
        <v>36</v>
      </c>
      <c r="I18" t="s">
        <v>75</v>
      </c>
      <c r="J18">
        <v>1.5</v>
      </c>
      <c r="K18" s="2">
        <v>3</v>
      </c>
      <c r="L18">
        <f>K18*J18</f>
        <v>4.5</v>
      </c>
    </row>
    <row r="19" spans="1:17" x14ac:dyDescent="0.2">
      <c r="A19">
        <v>18</v>
      </c>
      <c r="C19" s="2"/>
      <c r="E19" s="2"/>
      <c r="H19" t="s">
        <v>37</v>
      </c>
      <c r="I19" t="s">
        <v>38</v>
      </c>
      <c r="J19">
        <v>0.5</v>
      </c>
      <c r="K19" s="2">
        <v>0</v>
      </c>
      <c r="L19">
        <f t="shared" ref="L19:L25" si="2">K19*J19</f>
        <v>0</v>
      </c>
      <c r="O19" s="1" t="s">
        <v>71</v>
      </c>
      <c r="P19" s="11">
        <v>450</v>
      </c>
      <c r="Q19" t="s">
        <v>72</v>
      </c>
    </row>
    <row r="20" spans="1:17" x14ac:dyDescent="0.2">
      <c r="A20">
        <v>19</v>
      </c>
      <c r="C20" s="2"/>
      <c r="E20" s="2"/>
      <c r="H20" t="s">
        <v>39</v>
      </c>
      <c r="I20" t="s">
        <v>40</v>
      </c>
      <c r="J20">
        <v>1</v>
      </c>
      <c r="K20" s="2">
        <v>4</v>
      </c>
      <c r="L20">
        <f t="shared" si="2"/>
        <v>4</v>
      </c>
    </row>
    <row r="21" spans="1:17" ht="16" customHeight="1" x14ac:dyDescent="0.35">
      <c r="A21">
        <v>20</v>
      </c>
      <c r="C21" s="2"/>
      <c r="E21" s="2"/>
      <c r="H21" t="s">
        <v>41</v>
      </c>
      <c r="I21" t="s">
        <v>42</v>
      </c>
      <c r="J21">
        <v>0.5</v>
      </c>
      <c r="K21" s="2">
        <v>5</v>
      </c>
      <c r="L21">
        <f t="shared" si="2"/>
        <v>2.5</v>
      </c>
      <c r="Q21" s="16"/>
    </row>
    <row r="22" spans="1:17" ht="16" customHeight="1" x14ac:dyDescent="0.35">
      <c r="A22">
        <v>21</v>
      </c>
      <c r="C22" s="2"/>
      <c r="E22" s="2"/>
      <c r="H22" t="s">
        <v>43</v>
      </c>
      <c r="I22" t="s">
        <v>44</v>
      </c>
      <c r="J22">
        <v>1</v>
      </c>
      <c r="K22" s="2">
        <v>4</v>
      </c>
      <c r="L22">
        <f t="shared" si="2"/>
        <v>4</v>
      </c>
      <c r="O22" s="17"/>
      <c r="P22" s="16"/>
      <c r="Q22" s="16"/>
    </row>
    <row r="23" spans="1:17" x14ac:dyDescent="0.2">
      <c r="A23">
        <v>22</v>
      </c>
      <c r="C23" s="2"/>
      <c r="E23" s="2"/>
      <c r="H23" t="s">
        <v>45</v>
      </c>
      <c r="I23" t="s">
        <v>46</v>
      </c>
      <c r="J23">
        <v>2</v>
      </c>
      <c r="K23" s="2">
        <v>4</v>
      </c>
      <c r="L23">
        <f t="shared" si="2"/>
        <v>8</v>
      </c>
    </row>
    <row r="24" spans="1:17" x14ac:dyDescent="0.2">
      <c r="A24">
        <v>23</v>
      </c>
      <c r="C24" s="2"/>
      <c r="E24" s="2"/>
      <c r="H24" t="s">
        <v>47</v>
      </c>
      <c r="I24" t="s">
        <v>48</v>
      </c>
      <c r="J24">
        <v>-1</v>
      </c>
      <c r="K24" s="2">
        <v>1</v>
      </c>
      <c r="L24">
        <f t="shared" si="2"/>
        <v>-1</v>
      </c>
    </row>
    <row r="25" spans="1:17" x14ac:dyDescent="0.2">
      <c r="A25">
        <v>24</v>
      </c>
      <c r="C25" s="2"/>
      <c r="E25" s="2"/>
      <c r="H25" t="s">
        <v>49</v>
      </c>
      <c r="I25" t="s">
        <v>50</v>
      </c>
      <c r="J25">
        <v>-1</v>
      </c>
      <c r="K25" s="2">
        <v>1</v>
      </c>
      <c r="L25">
        <f t="shared" si="2"/>
        <v>-1</v>
      </c>
    </row>
    <row r="27" spans="1:17" ht="29" x14ac:dyDescent="0.35">
      <c r="O27" s="17" t="s">
        <v>73</v>
      </c>
      <c r="P27" s="16">
        <f>P15/8*P19</f>
        <v>55665.224999999999</v>
      </c>
    </row>
  </sheetData>
  <dataValidations count="1">
    <dataValidation type="list" allowBlank="1" showInputMessage="1" showErrorMessage="1" sqref="K18:K25 K2:K14" xr:uid="{CD3984D9-8C92-9F4C-A035-F07CCB1115FA}">
      <formula1>$AC$4:$AC$14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47DC-087D-314D-952B-7C23637A92CC}">
  <dimension ref="A1:AC27"/>
  <sheetViews>
    <sheetView tabSelected="1" zoomScale="130" zoomScaleNormal="130" workbookViewId="0">
      <selection activeCell="D19" sqref="D19"/>
    </sheetView>
  </sheetViews>
  <sheetFormatPr baseColWidth="10" defaultColWidth="10.83203125" defaultRowHeight="16" x14ac:dyDescent="0.2"/>
  <cols>
    <col min="1" max="1" width="6.6640625" customWidth="1"/>
    <col min="2" max="2" width="24.83203125" customWidth="1"/>
    <col min="3" max="3" width="9.6640625" customWidth="1"/>
    <col min="4" max="4" width="44.33203125" customWidth="1"/>
    <col min="5" max="5" width="11.33203125" customWidth="1"/>
    <col min="9" max="9" width="31.83203125" customWidth="1"/>
    <col min="10" max="10" width="9.6640625" customWidth="1"/>
    <col min="11" max="11" width="13.5" customWidth="1"/>
    <col min="13" max="13" width="6.6640625" customWidth="1"/>
    <col min="16" max="16" width="31" customWidth="1"/>
    <col min="19" max="19" width="8.33203125" customWidth="1"/>
    <col min="20" max="20" width="8.6640625" customWidth="1"/>
  </cols>
  <sheetData>
    <row r="1" spans="1:29" ht="32" customHeight="1" x14ac:dyDescent="0.3">
      <c r="A1" s="1"/>
      <c r="B1" s="1" t="s">
        <v>80</v>
      </c>
      <c r="C1" s="14" t="s">
        <v>0</v>
      </c>
      <c r="D1" s="1" t="s">
        <v>79</v>
      </c>
      <c r="E1" s="1" t="s">
        <v>1</v>
      </c>
      <c r="F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O1" s="3" t="s">
        <v>51</v>
      </c>
      <c r="X1" t="s">
        <v>76</v>
      </c>
    </row>
    <row r="2" spans="1:29" x14ac:dyDescent="0.2">
      <c r="A2">
        <v>1</v>
      </c>
      <c r="B2" t="s">
        <v>81</v>
      </c>
      <c r="C2" s="2">
        <v>3</v>
      </c>
      <c r="D2" s="18" t="s">
        <v>90</v>
      </c>
      <c r="E2" s="2">
        <v>2</v>
      </c>
      <c r="F2">
        <f>IF(E2="","",IF(E2&lt;4,5,IF(E2&lt;=7,10,15)))</f>
        <v>5</v>
      </c>
      <c r="H2" t="s">
        <v>9</v>
      </c>
      <c r="I2" t="s">
        <v>10</v>
      </c>
      <c r="J2">
        <v>2</v>
      </c>
      <c r="K2" s="2">
        <v>5</v>
      </c>
      <c r="L2">
        <f>K2*J2</f>
        <v>10</v>
      </c>
      <c r="X2" s="1" t="s">
        <v>77</v>
      </c>
      <c r="AA2" s="1" t="s">
        <v>78</v>
      </c>
      <c r="AC2" s="1" t="s">
        <v>74</v>
      </c>
    </row>
    <row r="3" spans="1:29" x14ac:dyDescent="0.2">
      <c r="A3">
        <v>2</v>
      </c>
      <c r="B3" t="s">
        <v>82</v>
      </c>
      <c r="C3" s="2">
        <v>3</v>
      </c>
      <c r="D3" s="18" t="s">
        <v>91</v>
      </c>
      <c r="E3" s="2">
        <v>3</v>
      </c>
      <c r="F3">
        <f>IF(E3="","",IF(E3&lt;4,5,IF(E3&lt;=7,10,15)))</f>
        <v>5</v>
      </c>
      <c r="H3" t="s">
        <v>11</v>
      </c>
      <c r="I3" t="s">
        <v>12</v>
      </c>
      <c r="J3">
        <v>2</v>
      </c>
      <c r="K3" s="2">
        <v>2</v>
      </c>
      <c r="L3">
        <f t="shared" ref="L3:L14" si="0">K3*J3</f>
        <v>4</v>
      </c>
      <c r="X3" s="1"/>
      <c r="AA3" s="1"/>
      <c r="AC3" s="1"/>
    </row>
    <row r="4" spans="1:29" x14ac:dyDescent="0.2">
      <c r="A4">
        <v>3</v>
      </c>
      <c r="B4" t="s">
        <v>83</v>
      </c>
      <c r="C4" s="2">
        <v>3</v>
      </c>
      <c r="D4" s="18" t="s">
        <v>92</v>
      </c>
      <c r="E4" s="2">
        <v>4</v>
      </c>
      <c r="F4">
        <f t="shared" ref="F4:F25" si="1">IF(E4="","",IF(E4&lt;4,5,IF(E4&lt;=7,10,15)))</f>
        <v>10</v>
      </c>
      <c r="H4" t="s">
        <v>13</v>
      </c>
      <c r="I4" t="s">
        <v>14</v>
      </c>
      <c r="J4">
        <v>1</v>
      </c>
      <c r="K4" s="2">
        <v>4</v>
      </c>
      <c r="L4">
        <f t="shared" si="0"/>
        <v>4</v>
      </c>
      <c r="O4" s="5" t="s">
        <v>52</v>
      </c>
      <c r="P4" s="5"/>
      <c r="R4" s="6" t="s">
        <v>53</v>
      </c>
      <c r="S4" s="6"/>
      <c r="T4" s="6"/>
      <c r="X4" s="12" t="s">
        <v>54</v>
      </c>
      <c r="Y4" s="12">
        <v>10</v>
      </c>
      <c r="AA4" s="13">
        <v>1</v>
      </c>
      <c r="AC4" s="13">
        <v>0</v>
      </c>
    </row>
    <row r="5" spans="1:29" x14ac:dyDescent="0.2">
      <c r="A5">
        <v>4</v>
      </c>
      <c r="B5" t="s">
        <v>84</v>
      </c>
      <c r="C5" s="2">
        <v>3</v>
      </c>
      <c r="D5" s="18" t="s">
        <v>93</v>
      </c>
      <c r="E5" s="2">
        <v>5</v>
      </c>
      <c r="F5">
        <f t="shared" si="1"/>
        <v>10</v>
      </c>
      <c r="H5" t="s">
        <v>15</v>
      </c>
      <c r="I5" t="s">
        <v>16</v>
      </c>
      <c r="J5">
        <v>1</v>
      </c>
      <c r="K5" s="2">
        <v>1</v>
      </c>
      <c r="L5">
        <f t="shared" si="0"/>
        <v>1</v>
      </c>
      <c r="O5" s="5"/>
      <c r="P5" s="5"/>
      <c r="R5" s="6"/>
      <c r="S5" s="6"/>
      <c r="T5" s="6"/>
      <c r="X5" s="12" t="s">
        <v>55</v>
      </c>
      <c r="Y5" s="12">
        <v>14</v>
      </c>
      <c r="AA5" s="13">
        <v>2</v>
      </c>
      <c r="AC5" s="13">
        <v>0.5</v>
      </c>
    </row>
    <row r="6" spans="1:29" x14ac:dyDescent="0.2">
      <c r="A6">
        <v>5</v>
      </c>
      <c r="B6" t="s">
        <v>85</v>
      </c>
      <c r="C6" s="2">
        <v>3</v>
      </c>
      <c r="D6" s="18" t="s">
        <v>94</v>
      </c>
      <c r="E6" s="2">
        <v>3</v>
      </c>
      <c r="F6">
        <f t="shared" si="1"/>
        <v>5</v>
      </c>
      <c r="H6" t="s">
        <v>17</v>
      </c>
      <c r="I6" t="s">
        <v>18</v>
      </c>
      <c r="J6">
        <v>1</v>
      </c>
      <c r="K6" s="2">
        <v>4</v>
      </c>
      <c r="L6">
        <f t="shared" si="0"/>
        <v>4</v>
      </c>
      <c r="O6" s="5" t="s">
        <v>56</v>
      </c>
      <c r="P6" s="5">
        <f>SUM(L2:L14)</f>
        <v>48</v>
      </c>
      <c r="R6" s="6" t="s">
        <v>57</v>
      </c>
      <c r="S6" s="6">
        <f>COUNTIF(K18:K23,"&lt;3")</f>
        <v>3</v>
      </c>
      <c r="T6" s="6"/>
      <c r="X6" s="12" t="s">
        <v>58</v>
      </c>
      <c r="Y6" s="12">
        <v>18</v>
      </c>
      <c r="AA6" s="13">
        <v>3</v>
      </c>
      <c r="AC6" s="13">
        <v>1</v>
      </c>
    </row>
    <row r="7" spans="1:29" x14ac:dyDescent="0.2">
      <c r="A7">
        <v>6</v>
      </c>
      <c r="B7" t="s">
        <v>86</v>
      </c>
      <c r="C7" s="2">
        <v>1</v>
      </c>
      <c r="D7" s="18" t="s">
        <v>95</v>
      </c>
      <c r="E7" s="2">
        <v>7</v>
      </c>
      <c r="F7">
        <f t="shared" si="1"/>
        <v>10</v>
      </c>
      <c r="H7" t="s">
        <v>19</v>
      </c>
      <c r="I7" t="s">
        <v>20</v>
      </c>
      <c r="J7">
        <v>0.5</v>
      </c>
      <c r="K7" s="2">
        <v>5</v>
      </c>
      <c r="L7">
        <f t="shared" si="0"/>
        <v>2.5</v>
      </c>
      <c r="O7" s="5" t="s">
        <v>59</v>
      </c>
      <c r="P7" s="7">
        <f>0.6+0.01*P6</f>
        <v>1.08</v>
      </c>
      <c r="R7" s="6" t="s">
        <v>60</v>
      </c>
      <c r="S7" s="6">
        <f>COUNTIF(K24:K25,"&gt;3")</f>
        <v>0</v>
      </c>
      <c r="T7" s="6"/>
      <c r="AC7" s="13">
        <v>1.5</v>
      </c>
    </row>
    <row r="8" spans="1:29" x14ac:dyDescent="0.2">
      <c r="A8">
        <v>7</v>
      </c>
      <c r="B8" t="s">
        <v>87</v>
      </c>
      <c r="C8" s="2">
        <v>1</v>
      </c>
      <c r="D8" s="18" t="s">
        <v>96</v>
      </c>
      <c r="E8" s="2">
        <v>3</v>
      </c>
      <c r="F8">
        <f t="shared" si="1"/>
        <v>5</v>
      </c>
      <c r="H8" t="s">
        <v>21</v>
      </c>
      <c r="I8" t="s">
        <v>22</v>
      </c>
      <c r="J8">
        <v>0.5</v>
      </c>
      <c r="K8" s="2">
        <v>1</v>
      </c>
      <c r="L8">
        <f t="shared" si="0"/>
        <v>0.5</v>
      </c>
      <c r="O8" s="5"/>
      <c r="P8" s="5"/>
      <c r="R8" s="6" t="s">
        <v>61</v>
      </c>
      <c r="S8" s="6">
        <f>SUM(S6:S7)</f>
        <v>3</v>
      </c>
      <c r="T8" s="6"/>
      <c r="AC8" s="13">
        <v>2</v>
      </c>
    </row>
    <row r="9" spans="1:29" x14ac:dyDescent="0.2">
      <c r="A9">
        <v>8</v>
      </c>
      <c r="B9" t="s">
        <v>88</v>
      </c>
      <c r="C9" s="2">
        <v>1</v>
      </c>
      <c r="D9" s="18" t="s">
        <v>97</v>
      </c>
      <c r="E9" s="2">
        <v>3</v>
      </c>
      <c r="F9">
        <f t="shared" si="1"/>
        <v>5</v>
      </c>
      <c r="H9" t="s">
        <v>23</v>
      </c>
      <c r="I9" t="s">
        <v>24</v>
      </c>
      <c r="J9">
        <v>2</v>
      </c>
      <c r="K9" s="2">
        <v>5</v>
      </c>
      <c r="L9">
        <f t="shared" si="0"/>
        <v>10</v>
      </c>
      <c r="O9" s="5" t="s">
        <v>62</v>
      </c>
      <c r="P9" s="5">
        <f>SUM(L18:L25)</f>
        <v>16</v>
      </c>
      <c r="R9" s="6"/>
      <c r="S9" s="6"/>
      <c r="T9" s="6"/>
      <c r="AC9" s="13">
        <v>2.5</v>
      </c>
    </row>
    <row r="10" spans="1:29" x14ac:dyDescent="0.2">
      <c r="A10">
        <v>9</v>
      </c>
      <c r="B10" t="s">
        <v>89</v>
      </c>
      <c r="C10" s="2">
        <v>1</v>
      </c>
      <c r="D10" s="18" t="s">
        <v>98</v>
      </c>
      <c r="E10" s="2">
        <v>3</v>
      </c>
      <c r="F10">
        <f t="shared" si="1"/>
        <v>5</v>
      </c>
      <c r="H10" t="s">
        <v>25</v>
      </c>
      <c r="I10" t="s">
        <v>26</v>
      </c>
      <c r="J10">
        <v>1</v>
      </c>
      <c r="K10" s="2">
        <v>2</v>
      </c>
      <c r="L10">
        <f t="shared" si="0"/>
        <v>2</v>
      </c>
      <c r="O10" s="5" t="s">
        <v>63</v>
      </c>
      <c r="P10" s="7">
        <f>1.4+(-0.03*P9)</f>
        <v>0.91999999999999993</v>
      </c>
      <c r="R10" s="6" t="s">
        <v>64</v>
      </c>
      <c r="S10" s="6">
        <f>IF(S8&lt;=2,Y4,IF(S8&lt;=4,Y5,Y6))</f>
        <v>14</v>
      </c>
      <c r="T10" s="6" t="s">
        <v>65</v>
      </c>
      <c r="AC10" s="13">
        <v>3</v>
      </c>
    </row>
    <row r="11" spans="1:29" x14ac:dyDescent="0.2">
      <c r="A11">
        <v>10</v>
      </c>
      <c r="C11" s="2"/>
      <c r="D11" s="18" t="s">
        <v>99</v>
      </c>
      <c r="E11" s="2">
        <v>3</v>
      </c>
      <c r="F11">
        <f t="shared" si="1"/>
        <v>5</v>
      </c>
      <c r="H11" t="s">
        <v>27</v>
      </c>
      <c r="I11" t="s">
        <v>28</v>
      </c>
      <c r="J11">
        <v>1</v>
      </c>
      <c r="K11" s="2">
        <v>5</v>
      </c>
      <c r="L11">
        <f t="shared" si="0"/>
        <v>5</v>
      </c>
      <c r="AC11" s="13">
        <v>3.5</v>
      </c>
    </row>
    <row r="12" spans="1:29" x14ac:dyDescent="0.2">
      <c r="A12">
        <v>11</v>
      </c>
      <c r="C12" s="2"/>
      <c r="D12" s="18" t="s">
        <v>100</v>
      </c>
      <c r="E12" s="2">
        <v>3</v>
      </c>
      <c r="F12">
        <f t="shared" si="1"/>
        <v>5</v>
      </c>
      <c r="H12" t="s">
        <v>29</v>
      </c>
      <c r="I12" t="s">
        <v>30</v>
      </c>
      <c r="J12">
        <v>1</v>
      </c>
      <c r="K12" s="2">
        <v>1</v>
      </c>
      <c r="L12">
        <f t="shared" si="0"/>
        <v>1</v>
      </c>
      <c r="O12" s="8" t="s">
        <v>3</v>
      </c>
      <c r="P12" s="4">
        <f>IF(F1&lt;&gt;"",SUM(C2:C25,F2:F25),0)</f>
        <v>119</v>
      </c>
      <c r="AC12" s="13">
        <v>4</v>
      </c>
    </row>
    <row r="13" spans="1:29" x14ac:dyDescent="0.2">
      <c r="A13">
        <v>12</v>
      </c>
      <c r="C13" s="2"/>
      <c r="D13" s="18" t="s">
        <v>101</v>
      </c>
      <c r="E13" s="2">
        <v>3</v>
      </c>
      <c r="F13">
        <f t="shared" si="1"/>
        <v>5</v>
      </c>
      <c r="H13" t="s">
        <v>31</v>
      </c>
      <c r="I13" t="s">
        <v>32</v>
      </c>
      <c r="J13">
        <v>1</v>
      </c>
      <c r="K13" s="2">
        <v>3</v>
      </c>
      <c r="L13">
        <f t="shared" si="0"/>
        <v>3</v>
      </c>
      <c r="O13" s="1" t="s">
        <v>66</v>
      </c>
      <c r="P13" s="9">
        <f>P12*P7*P10</f>
        <v>118.2384</v>
      </c>
      <c r="AC13" s="13">
        <v>4.5</v>
      </c>
    </row>
    <row r="14" spans="1:29" ht="17" thickBot="1" x14ac:dyDescent="0.25">
      <c r="A14">
        <v>13</v>
      </c>
      <c r="C14" s="2"/>
      <c r="D14" s="18" t="s">
        <v>102</v>
      </c>
      <c r="E14" s="2">
        <v>3</v>
      </c>
      <c r="F14">
        <f t="shared" si="1"/>
        <v>5</v>
      </c>
      <c r="H14" t="s">
        <v>33</v>
      </c>
      <c r="I14" t="s">
        <v>34</v>
      </c>
      <c r="J14">
        <v>1</v>
      </c>
      <c r="K14" s="2">
        <v>1</v>
      </c>
      <c r="L14">
        <f t="shared" si="0"/>
        <v>1</v>
      </c>
      <c r="AC14" s="13">
        <v>5</v>
      </c>
    </row>
    <row r="15" spans="1:29" ht="18" thickBot="1" x14ac:dyDescent="0.25">
      <c r="A15">
        <v>14</v>
      </c>
      <c r="C15" s="2"/>
      <c r="D15" s="19" t="s">
        <v>103</v>
      </c>
      <c r="E15" s="2">
        <v>3</v>
      </c>
      <c r="F15">
        <f t="shared" si="1"/>
        <v>5</v>
      </c>
      <c r="O15" s="1" t="s">
        <v>67</v>
      </c>
      <c r="P15" s="9">
        <f>P13*S10</f>
        <v>1655.3376000000001</v>
      </c>
      <c r="Q15" t="s">
        <v>68</v>
      </c>
    </row>
    <row r="16" spans="1:29" x14ac:dyDescent="0.2">
      <c r="A16">
        <v>15</v>
      </c>
      <c r="C16" s="2"/>
      <c r="D16" s="18" t="s">
        <v>104</v>
      </c>
      <c r="E16" s="2">
        <v>3</v>
      </c>
      <c r="F16">
        <f t="shared" si="1"/>
        <v>5</v>
      </c>
      <c r="O16" s="1"/>
      <c r="P16" s="15" t="s">
        <v>69</v>
      </c>
    </row>
    <row r="17" spans="1:17" x14ac:dyDescent="0.2">
      <c r="A17">
        <v>16</v>
      </c>
      <c r="C17" s="2"/>
      <c r="D17" s="18" t="s">
        <v>105</v>
      </c>
      <c r="E17" s="2">
        <v>3</v>
      </c>
      <c r="F17">
        <f t="shared" si="1"/>
        <v>5</v>
      </c>
      <c r="H17" s="1" t="s">
        <v>4</v>
      </c>
      <c r="I17" s="1" t="s">
        <v>5</v>
      </c>
      <c r="J17" s="1" t="s">
        <v>6</v>
      </c>
      <c r="K17" s="1" t="s">
        <v>7</v>
      </c>
      <c r="L17" s="1" t="s">
        <v>35</v>
      </c>
      <c r="P17" s="10">
        <f>P15/8</f>
        <v>206.91720000000001</v>
      </c>
      <c r="Q17" t="s">
        <v>70</v>
      </c>
    </row>
    <row r="18" spans="1:17" x14ac:dyDescent="0.2">
      <c r="A18">
        <v>17</v>
      </c>
      <c r="C18" s="2"/>
      <c r="D18" s="20" t="s">
        <v>106</v>
      </c>
      <c r="E18" s="2">
        <v>3</v>
      </c>
      <c r="F18">
        <f t="shared" si="1"/>
        <v>5</v>
      </c>
      <c r="H18" t="s">
        <v>36</v>
      </c>
      <c r="I18" t="s">
        <v>75</v>
      </c>
      <c r="J18">
        <v>1.5</v>
      </c>
      <c r="K18" s="2">
        <v>5</v>
      </c>
      <c r="L18">
        <f>K18*J18</f>
        <v>7.5</v>
      </c>
    </row>
    <row r="19" spans="1:17" x14ac:dyDescent="0.2">
      <c r="A19">
        <v>18</v>
      </c>
      <c r="C19" s="2"/>
      <c r="E19" s="2"/>
      <c r="F19" t="str">
        <f t="shared" si="1"/>
        <v/>
      </c>
      <c r="H19" t="s">
        <v>37</v>
      </c>
      <c r="I19" t="s">
        <v>38</v>
      </c>
      <c r="J19">
        <v>0.5</v>
      </c>
      <c r="K19" s="2">
        <v>0</v>
      </c>
      <c r="L19">
        <f t="shared" ref="L19:L25" si="2">K19*J19</f>
        <v>0</v>
      </c>
      <c r="O19" s="1" t="s">
        <v>71</v>
      </c>
      <c r="P19" s="11">
        <v>200</v>
      </c>
      <c r="Q19" t="s">
        <v>72</v>
      </c>
    </row>
    <row r="20" spans="1:17" x14ac:dyDescent="0.2">
      <c r="A20">
        <v>19</v>
      </c>
      <c r="C20" s="2"/>
      <c r="E20" s="2"/>
      <c r="F20" t="str">
        <f t="shared" si="1"/>
        <v/>
      </c>
      <c r="H20" t="s">
        <v>39</v>
      </c>
      <c r="I20" t="s">
        <v>40</v>
      </c>
      <c r="J20">
        <v>1</v>
      </c>
      <c r="K20" s="2">
        <v>5</v>
      </c>
      <c r="L20">
        <f t="shared" si="2"/>
        <v>5</v>
      </c>
    </row>
    <row r="21" spans="1:17" ht="16" customHeight="1" x14ac:dyDescent="0.35">
      <c r="A21">
        <v>20</v>
      </c>
      <c r="C21" s="2"/>
      <c r="E21" s="2"/>
      <c r="F21" t="str">
        <f t="shared" si="1"/>
        <v/>
      </c>
      <c r="H21" t="s">
        <v>41</v>
      </c>
      <c r="I21" t="s">
        <v>42</v>
      </c>
      <c r="J21">
        <v>0.5</v>
      </c>
      <c r="K21" s="2">
        <v>5</v>
      </c>
      <c r="L21">
        <f t="shared" si="2"/>
        <v>2.5</v>
      </c>
      <c r="Q21" s="16"/>
    </row>
    <row r="22" spans="1:17" ht="16" customHeight="1" x14ac:dyDescent="0.35">
      <c r="A22">
        <v>21</v>
      </c>
      <c r="C22" s="2"/>
      <c r="E22" s="2"/>
      <c r="F22" t="str">
        <f t="shared" si="1"/>
        <v/>
      </c>
      <c r="H22" t="s">
        <v>43</v>
      </c>
      <c r="I22" t="s">
        <v>44</v>
      </c>
      <c r="J22">
        <v>1</v>
      </c>
      <c r="K22" s="2">
        <v>2</v>
      </c>
      <c r="L22">
        <f t="shared" si="2"/>
        <v>2</v>
      </c>
      <c r="O22" s="17"/>
      <c r="P22" s="16"/>
      <c r="Q22" s="16"/>
    </row>
    <row r="23" spans="1:17" x14ac:dyDescent="0.2">
      <c r="A23">
        <v>22</v>
      </c>
      <c r="C23" s="2"/>
      <c r="E23" s="2"/>
      <c r="F23" t="str">
        <f t="shared" si="1"/>
        <v/>
      </c>
      <c r="H23" t="s">
        <v>45</v>
      </c>
      <c r="I23" t="s">
        <v>46</v>
      </c>
      <c r="J23">
        <v>2</v>
      </c>
      <c r="K23" s="2">
        <v>1</v>
      </c>
      <c r="L23">
        <f t="shared" si="2"/>
        <v>2</v>
      </c>
    </row>
    <row r="24" spans="1:17" x14ac:dyDescent="0.2">
      <c r="A24">
        <v>23</v>
      </c>
      <c r="C24" s="2"/>
      <c r="E24" s="2"/>
      <c r="F24" t="str">
        <f t="shared" si="1"/>
        <v/>
      </c>
      <c r="H24" t="s">
        <v>47</v>
      </c>
      <c r="I24" t="s">
        <v>48</v>
      </c>
      <c r="J24">
        <v>-1</v>
      </c>
      <c r="K24" s="2">
        <v>2</v>
      </c>
      <c r="L24">
        <f t="shared" si="2"/>
        <v>-2</v>
      </c>
    </row>
    <row r="25" spans="1:17" x14ac:dyDescent="0.2">
      <c r="A25">
        <v>24</v>
      </c>
      <c r="C25" s="2"/>
      <c r="E25" s="2"/>
      <c r="F25" t="str">
        <f t="shared" si="1"/>
        <v/>
      </c>
      <c r="H25" t="s">
        <v>49</v>
      </c>
      <c r="I25" t="s">
        <v>50</v>
      </c>
      <c r="J25">
        <v>-1</v>
      </c>
      <c r="K25" s="2">
        <v>1</v>
      </c>
      <c r="L25">
        <f t="shared" si="2"/>
        <v>-1</v>
      </c>
    </row>
    <row r="27" spans="1:17" ht="29" x14ac:dyDescent="0.35">
      <c r="O27" s="17" t="s">
        <v>73</v>
      </c>
      <c r="P27" s="16">
        <f>P15/8*P19</f>
        <v>41383.440000000002</v>
      </c>
    </row>
  </sheetData>
  <dataValidations count="1">
    <dataValidation type="list" allowBlank="1" showInputMessage="1" showErrorMessage="1" sqref="K18:K25 K2:K14" xr:uid="{01B60C9C-CBA6-144A-839F-413767CAF7E5}">
      <formula1>$AC$4:$AC$14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Torchiano</dc:creator>
  <cp:lastModifiedBy>Carianni  Micaela</cp:lastModifiedBy>
  <dcterms:created xsi:type="dcterms:W3CDTF">2021-11-29T09:44:59Z</dcterms:created>
  <dcterms:modified xsi:type="dcterms:W3CDTF">2026-01-05T10:18:56Z</dcterms:modified>
</cp:coreProperties>
</file>